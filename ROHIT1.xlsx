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1600" windowHeight="9735"/>
  </bookViews>
  <sheets>
    <sheet name="Sheet1" sheetId="1" r:id="rId1"/>
  </sheets>
  <definedNames>
    <definedName name="_xlnm._FilterDatabase" localSheetId="0" hidden="1">Sheet1!$A$1:$M$10</definedName>
    <definedName name="A100000000">Sheet1!$100000:$100000</definedName>
    <definedName name="A100300002">Sheet1!$A$100322</definedName>
    <definedName name="A19993748">Sheet1!$100000:$100000</definedName>
    <definedName name="a1999999999">Sheet1!$P$48</definedName>
    <definedName name="B10000000000">Sheet1!$A$1</definedName>
    <definedName name="B100009090">Sheet1!$A$100395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1" l="1"/>
  <c r="L2" i="1"/>
  <c r="M6" i="1"/>
  <c r="H3" i="1"/>
  <c r="K3" i="1" l="1"/>
  <c r="M3" i="1" s="1"/>
  <c r="K4" i="1"/>
  <c r="M4" i="1" s="1"/>
  <c r="K5" i="1"/>
  <c r="M5" i="1" s="1"/>
  <c r="K7" i="1"/>
  <c r="M7" i="1" s="1"/>
  <c r="K8" i="1"/>
  <c r="M8" i="1" s="1"/>
  <c r="K9" i="1"/>
  <c r="M9" i="1" s="1"/>
  <c r="K10" i="1"/>
  <c r="M10" i="1" s="1"/>
  <c r="K2" i="1"/>
  <c r="M2" i="1" s="1"/>
  <c r="H2" i="1"/>
  <c r="J3" i="1"/>
  <c r="J4" i="1"/>
  <c r="J5" i="1"/>
  <c r="J6" i="1"/>
  <c r="J7" i="1"/>
  <c r="J8" i="1"/>
  <c r="J9" i="1"/>
  <c r="J10" i="1"/>
  <c r="J2" i="1"/>
  <c r="H5" i="1" l="1"/>
  <c r="I5" i="1" s="1"/>
  <c r="L5" i="1" s="1"/>
  <c r="H6" i="1"/>
  <c r="I6" i="1" s="1"/>
  <c r="L6" i="1" s="1"/>
  <c r="H7" i="1"/>
  <c r="I7" i="1" s="1"/>
  <c r="L7" i="1" s="1"/>
  <c r="H8" i="1"/>
  <c r="H9" i="1"/>
  <c r="I9" i="1" s="1"/>
  <c r="L9" i="1" s="1"/>
  <c r="H10" i="1"/>
  <c r="I10" i="1" s="1"/>
  <c r="L10" i="1" s="1"/>
  <c r="H4" i="1"/>
  <c r="I4" i="1" s="1"/>
  <c r="L4" i="1" s="1"/>
  <c r="I3" i="1"/>
  <c r="L3" i="1" s="1"/>
</calcChain>
</file>

<file path=xl/sharedStrings.xml><?xml version="1.0" encoding="utf-8"?>
<sst xmlns="http://schemas.openxmlformats.org/spreadsheetml/2006/main" count="31" uniqueCount="31">
  <si>
    <t>san</t>
  </si>
  <si>
    <t>thos</t>
  </si>
  <si>
    <t>rohit</t>
  </si>
  <si>
    <t>vishaal</t>
  </si>
  <si>
    <t>sanjay</t>
  </si>
  <si>
    <t>vyas</t>
  </si>
  <si>
    <t>pradeep</t>
  </si>
  <si>
    <t>pavish</t>
  </si>
  <si>
    <t>saran</t>
  </si>
  <si>
    <t>REG</t>
  </si>
  <si>
    <t>ISRO001</t>
  </si>
  <si>
    <t>ISRO002</t>
  </si>
  <si>
    <t>ISRO003</t>
  </si>
  <si>
    <t>ISRO004</t>
  </si>
  <si>
    <t>ISRO005</t>
  </si>
  <si>
    <t>ISRO006</t>
  </si>
  <si>
    <t>ISRO007</t>
  </si>
  <si>
    <t>ISRO008</t>
  </si>
  <si>
    <t>ISRO009</t>
  </si>
  <si>
    <t>TAMIL</t>
  </si>
  <si>
    <t>ENGLISH</t>
  </si>
  <si>
    <t>SCIENCE</t>
  </si>
  <si>
    <t>SOCIAL</t>
  </si>
  <si>
    <t>TOTAL</t>
  </si>
  <si>
    <t>STUDENTNAME</t>
  </si>
  <si>
    <t>MIN MARK</t>
  </si>
  <si>
    <t>MAX MARK</t>
  </si>
  <si>
    <t>AVERAGE</t>
  </si>
  <si>
    <t>RESULT</t>
  </si>
  <si>
    <t>grade</t>
  </si>
  <si>
    <t>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</si>
</sst>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23643919510062"/>
          <c:y val="0.18560185185185185"/>
          <c:w val="0.78131911636045492"/>
          <c:h val="0.58205271216097987"/>
        </c:manualLayout>
      </c:layout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Sheet1!$H$2:$H$10</c:f>
              <c:numCache>
                <c:formatCode>General</c:formatCode>
                <c:ptCount val="9"/>
                <c:pt idx="0">
                  <c:v>377</c:v>
                </c:pt>
                <c:pt idx="1">
                  <c:v>309</c:v>
                </c:pt>
                <c:pt idx="2">
                  <c:v>389</c:v>
                </c:pt>
                <c:pt idx="3">
                  <c:v>397</c:v>
                </c:pt>
                <c:pt idx="4">
                  <c:v>449</c:v>
                </c:pt>
                <c:pt idx="5">
                  <c:v>353</c:v>
                </c:pt>
                <c:pt idx="6">
                  <c:v>314</c:v>
                </c:pt>
                <c:pt idx="7">
                  <c:v>376</c:v>
                </c:pt>
                <c:pt idx="8">
                  <c:v>410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315"/>
          <c:upBars>
            <c:spPr>
              <a:solidFill>
                <a:schemeClr val="lt1">
                  <a:lumMod val="85000"/>
                </a:schemeClr>
              </a:solidFill>
              <a:ln w="9525">
                <a:solidFill>
                  <a:schemeClr val="dk1">
                    <a:lumMod val="50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50000"/>
                  <a:lumOff val="50000"/>
                </a:schemeClr>
              </a:solidFill>
              <a:ln w="9525">
                <a:solidFill>
                  <a:schemeClr val="dk1">
                    <a:lumMod val="75000"/>
                  </a:schemeClr>
                </a:solidFill>
                <a:round/>
              </a:ln>
              <a:effectLst/>
            </c:spPr>
          </c:downBars>
        </c:upDownBars>
        <c:smooth val="0"/>
        <c:axId val="149973480"/>
        <c:axId val="149962112"/>
      </c:lineChart>
      <c:catAx>
        <c:axId val="14997348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62112"/>
        <c:crosses val="autoZero"/>
        <c:auto val="1"/>
        <c:lblAlgn val="ctr"/>
        <c:lblOffset val="100"/>
        <c:noMultiLvlLbl val="0"/>
      </c:catAx>
      <c:valAx>
        <c:axId val="149962112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734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accent6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AVERAGE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Sheet1!$K$2:$K$10</c:f>
              <c:numCache>
                <c:formatCode>General</c:formatCode>
                <c:ptCount val="9"/>
                <c:pt idx="0">
                  <c:v>75.400000000000006</c:v>
                </c:pt>
                <c:pt idx="1">
                  <c:v>61.8</c:v>
                </c:pt>
                <c:pt idx="2">
                  <c:v>77.8</c:v>
                </c:pt>
                <c:pt idx="3">
                  <c:v>79.400000000000006</c:v>
                </c:pt>
                <c:pt idx="4">
                  <c:v>90</c:v>
                </c:pt>
                <c:pt idx="5">
                  <c:v>70.599999999999994</c:v>
                </c:pt>
                <c:pt idx="6">
                  <c:v>62.8</c:v>
                </c:pt>
                <c:pt idx="7">
                  <c:v>75.2</c:v>
                </c:pt>
                <c:pt idx="8">
                  <c:v>82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89915760"/>
        <c:axId val="189916152"/>
      </c:barChart>
      <c:catAx>
        <c:axId val="1899157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6152"/>
        <c:crosses val="autoZero"/>
        <c:auto val="1"/>
        <c:lblAlgn val="ctr"/>
        <c:lblOffset val="100"/>
        <c:noMultiLvlLbl val="0"/>
      </c:catAx>
      <c:valAx>
        <c:axId val="1899161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469816272965881E-2"/>
          <c:y val="0.13930555555555557"/>
          <c:w val="0.8965301837270340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MAX MARK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Sheet1!$J$2:$J$10</c:f>
              <c:numCache>
                <c:formatCode>General</c:formatCode>
                <c:ptCount val="9"/>
                <c:pt idx="0">
                  <c:v>80</c:v>
                </c:pt>
                <c:pt idx="1">
                  <c:v>76</c:v>
                </c:pt>
                <c:pt idx="2">
                  <c:v>98</c:v>
                </c:pt>
                <c:pt idx="3">
                  <c:v>97</c:v>
                </c:pt>
                <c:pt idx="4">
                  <c:v>98</c:v>
                </c:pt>
                <c:pt idx="5">
                  <c:v>78</c:v>
                </c:pt>
                <c:pt idx="6">
                  <c:v>88</c:v>
                </c:pt>
                <c:pt idx="7">
                  <c:v>98</c:v>
                </c:pt>
                <c:pt idx="8">
                  <c:v>90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318207968"/>
        <c:axId val="187771496"/>
      </c:barChart>
      <c:catAx>
        <c:axId val="3182079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1496"/>
        <c:crosses val="autoZero"/>
        <c:auto val="1"/>
        <c:lblAlgn val="ctr"/>
        <c:lblOffset val="100"/>
        <c:noMultiLvlLbl val="0"/>
      </c:catAx>
      <c:valAx>
        <c:axId val="187771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20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830489938757655"/>
          <c:y val="0.18896835812190144"/>
          <c:w val="0.3389459755030621"/>
          <c:h val="0.56490995917177023"/>
        </c:manualLayout>
      </c:layout>
      <c:doughnutChart>
        <c:varyColors val="1"/>
        <c:ser>
          <c:idx val="0"/>
          <c:order val="0"/>
          <c:tx>
            <c:strRef>
              <c:f>Sheet1!$I$1</c:f>
              <c:strCache>
                <c:ptCount val="1"/>
                <c:pt idx="0">
                  <c:v>MIN MARK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Sheet1!$I$2:$I$10</c:f>
              <c:numCache>
                <c:formatCode>General</c:formatCode>
                <c:ptCount val="9"/>
                <c:pt idx="0">
                  <c:v>66</c:v>
                </c:pt>
                <c:pt idx="1">
                  <c:v>45</c:v>
                </c:pt>
                <c:pt idx="2">
                  <c:v>47</c:v>
                </c:pt>
                <c:pt idx="3">
                  <c:v>58</c:v>
                </c:pt>
                <c:pt idx="4">
                  <c:v>86</c:v>
                </c:pt>
                <c:pt idx="5">
                  <c:v>45</c:v>
                </c:pt>
                <c:pt idx="6">
                  <c:v>34</c:v>
                </c:pt>
                <c:pt idx="7">
                  <c:v>34</c:v>
                </c:pt>
                <c:pt idx="8">
                  <c:v>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95000"/>
        <a:lumOff val="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REG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Sheet1!$A$2:$A$10</c:f>
              <c:strCache>
                <c:ptCount val="9"/>
                <c:pt idx="0">
                  <c:v>san</c:v>
                </c:pt>
                <c:pt idx="1">
                  <c:v>thos</c:v>
                </c:pt>
                <c:pt idx="2">
                  <c:v>rohit</c:v>
                </c:pt>
                <c:pt idx="3">
                  <c:v>vishaal</c:v>
                </c:pt>
                <c:pt idx="4">
                  <c:v>sanjay</c:v>
                </c:pt>
                <c:pt idx="5">
                  <c:v>saran</c:v>
                </c:pt>
                <c:pt idx="6">
                  <c:v>vyas</c:v>
                </c:pt>
                <c:pt idx="7">
                  <c:v>pradeep</c:v>
                </c:pt>
                <c:pt idx="8">
                  <c:v>pavish</c:v>
                </c:pt>
              </c:strCache>
            </c:str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bubbleSize>
            <c:numRef>
              <c:f>Sheet1!$C$2:$C$10</c:f>
              <c:numCache>
                <c:formatCode>General</c:formatCode>
                <c:ptCount val="9"/>
                <c:pt idx="0">
                  <c:v>76</c:v>
                </c:pt>
                <c:pt idx="1">
                  <c:v>45</c:v>
                </c:pt>
                <c:pt idx="2">
                  <c:v>47</c:v>
                </c:pt>
                <c:pt idx="3">
                  <c:v>69</c:v>
                </c:pt>
                <c:pt idx="4">
                  <c:v>89</c:v>
                </c:pt>
                <c:pt idx="5">
                  <c:v>45</c:v>
                </c:pt>
                <c:pt idx="6">
                  <c:v>48</c:v>
                </c:pt>
                <c:pt idx="7">
                  <c:v>89</c:v>
                </c:pt>
                <c:pt idx="8">
                  <c:v>90</c:v>
                </c:pt>
              </c:numCache>
            </c:numRef>
          </c:bubbleSize>
          <c:bubble3D val="1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Sheet1!$A$2:$A$10</c:f>
              <c:strCache>
                <c:ptCount val="9"/>
                <c:pt idx="0">
                  <c:v>san</c:v>
                </c:pt>
                <c:pt idx="1">
                  <c:v>thos</c:v>
                </c:pt>
                <c:pt idx="2">
                  <c:v>rohit</c:v>
                </c:pt>
                <c:pt idx="3">
                  <c:v>vishaal</c:v>
                </c:pt>
                <c:pt idx="4">
                  <c:v>sanjay</c:v>
                </c:pt>
                <c:pt idx="5">
                  <c:v>saran</c:v>
                </c:pt>
                <c:pt idx="6">
                  <c:v>vyas</c:v>
                </c:pt>
                <c:pt idx="7">
                  <c:v>pradeep</c:v>
                </c:pt>
                <c:pt idx="8">
                  <c:v>pavish</c:v>
                </c:pt>
              </c:strCache>
            </c:strRef>
          </c:xVal>
          <c:yVal>
            <c:numRef>
              <c:f>Sheet1!$D$2:$D$10</c:f>
              <c:numCache>
                <c:formatCode>General</c:formatCode>
                <c:ptCount val="9"/>
                <c:pt idx="0">
                  <c:v>78</c:v>
                </c:pt>
                <c:pt idx="1">
                  <c:v>56</c:v>
                </c:pt>
                <c:pt idx="2">
                  <c:v>89</c:v>
                </c:pt>
                <c:pt idx="3">
                  <c:v>86</c:v>
                </c:pt>
                <c:pt idx="4">
                  <c:v>86</c:v>
                </c:pt>
                <c:pt idx="5">
                  <c:v>76</c:v>
                </c:pt>
                <c:pt idx="6">
                  <c:v>67</c:v>
                </c:pt>
                <c:pt idx="7">
                  <c:v>34</c:v>
                </c:pt>
                <c:pt idx="8">
                  <c:v>87</c:v>
                </c:pt>
              </c:numCache>
            </c:numRef>
          </c:yVal>
          <c:bubbleSize>
            <c:numRef>
              <c:f>Sheet1!$E$2:$E$10</c:f>
              <c:numCache>
                <c:formatCode>General</c:formatCode>
                <c:ptCount val="9"/>
                <c:pt idx="0">
                  <c:v>80</c:v>
                </c:pt>
                <c:pt idx="1">
                  <c:v>76</c:v>
                </c:pt>
                <c:pt idx="2">
                  <c:v>67</c:v>
                </c:pt>
                <c:pt idx="3">
                  <c:v>58</c:v>
                </c:pt>
                <c:pt idx="4">
                  <c:v>89</c:v>
                </c:pt>
                <c:pt idx="5">
                  <c:v>78</c:v>
                </c:pt>
                <c:pt idx="6">
                  <c:v>34</c:v>
                </c:pt>
                <c:pt idx="7">
                  <c:v>66</c:v>
                </c:pt>
                <c:pt idx="8">
                  <c:v>76</c:v>
                </c:pt>
              </c:numCache>
            </c:numRef>
          </c:bubbleSize>
          <c:bubble3D val="1"/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3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Sheet1!$A$2:$A$10</c:f>
              <c:strCache>
                <c:ptCount val="9"/>
                <c:pt idx="0">
                  <c:v>san</c:v>
                </c:pt>
                <c:pt idx="1">
                  <c:v>thos</c:v>
                </c:pt>
                <c:pt idx="2">
                  <c:v>rohit</c:v>
                </c:pt>
                <c:pt idx="3">
                  <c:v>vishaal</c:v>
                </c:pt>
                <c:pt idx="4">
                  <c:v>sanjay</c:v>
                </c:pt>
                <c:pt idx="5">
                  <c:v>saran</c:v>
                </c:pt>
                <c:pt idx="6">
                  <c:v>vyas</c:v>
                </c:pt>
                <c:pt idx="7">
                  <c:v>pradeep</c:v>
                </c:pt>
                <c:pt idx="8">
                  <c:v>pavish</c:v>
                </c:pt>
              </c:strCache>
            </c:strRef>
          </c:xVal>
          <c:yVal>
            <c:numRef>
              <c:f>Sheet1!$F$2:$F$10</c:f>
              <c:numCache>
                <c:formatCode>General</c:formatCode>
                <c:ptCount val="9"/>
                <c:pt idx="0">
                  <c:v>66</c:v>
                </c:pt>
                <c:pt idx="1">
                  <c:v>75</c:v>
                </c:pt>
                <c:pt idx="2">
                  <c:v>98</c:v>
                </c:pt>
                <c:pt idx="3">
                  <c:v>97</c:v>
                </c:pt>
                <c:pt idx="4">
                  <c:v>87</c:v>
                </c:pt>
                <c:pt idx="5">
                  <c:v>76</c:v>
                </c:pt>
                <c:pt idx="6">
                  <c:v>77</c:v>
                </c:pt>
                <c:pt idx="7">
                  <c:v>98</c:v>
                </c:pt>
                <c:pt idx="8">
                  <c:v>78</c:v>
                </c:pt>
              </c:numCache>
            </c:numRef>
          </c:yVal>
          <c:bubbleSize>
            <c:numRef>
              <c:f>Sheet1!$G$2:$G$10</c:f>
              <c:numCache>
                <c:formatCode>General</c:formatCode>
                <c:ptCount val="9"/>
                <c:pt idx="0">
                  <c:v>77</c:v>
                </c:pt>
                <c:pt idx="1">
                  <c:v>57</c:v>
                </c:pt>
                <c:pt idx="2">
                  <c:v>88</c:v>
                </c:pt>
                <c:pt idx="3">
                  <c:v>87</c:v>
                </c:pt>
                <c:pt idx="4">
                  <c:v>98</c:v>
                </c:pt>
                <c:pt idx="5">
                  <c:v>78</c:v>
                </c:pt>
                <c:pt idx="6">
                  <c:v>88</c:v>
                </c:pt>
                <c:pt idx="7">
                  <c:v>89</c:v>
                </c:pt>
                <c:pt idx="8">
                  <c:v>79</c:v>
                </c:pt>
              </c:numCache>
            </c:numRef>
          </c:bubbleSize>
          <c:bubble3D val="1"/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Sheet1!$A$2:$A$10</c:f>
              <c:strCache>
                <c:ptCount val="9"/>
                <c:pt idx="0">
                  <c:v>san</c:v>
                </c:pt>
                <c:pt idx="1">
                  <c:v>thos</c:v>
                </c:pt>
                <c:pt idx="2">
                  <c:v>rohit</c:v>
                </c:pt>
                <c:pt idx="3">
                  <c:v>vishaal</c:v>
                </c:pt>
                <c:pt idx="4">
                  <c:v>sanjay</c:v>
                </c:pt>
                <c:pt idx="5">
                  <c:v>saran</c:v>
                </c:pt>
                <c:pt idx="6">
                  <c:v>vyas</c:v>
                </c:pt>
                <c:pt idx="7">
                  <c:v>pradeep</c:v>
                </c:pt>
                <c:pt idx="8">
                  <c:v>pavish</c:v>
                </c:pt>
              </c:strCache>
            </c:strRef>
          </c:xVal>
          <c:yVal>
            <c:numRef>
              <c:f>Sheet1!$H$2:$H$10</c:f>
              <c:numCache>
                <c:formatCode>General</c:formatCode>
                <c:ptCount val="9"/>
                <c:pt idx="0">
                  <c:v>377</c:v>
                </c:pt>
                <c:pt idx="1">
                  <c:v>309</c:v>
                </c:pt>
                <c:pt idx="2">
                  <c:v>389</c:v>
                </c:pt>
                <c:pt idx="3">
                  <c:v>397</c:v>
                </c:pt>
                <c:pt idx="4">
                  <c:v>449</c:v>
                </c:pt>
                <c:pt idx="5">
                  <c:v>353</c:v>
                </c:pt>
                <c:pt idx="6">
                  <c:v>314</c:v>
                </c:pt>
                <c:pt idx="7">
                  <c:v>376</c:v>
                </c:pt>
                <c:pt idx="8">
                  <c:v>410</c:v>
                </c:pt>
              </c:numCache>
            </c:numRef>
          </c:yVal>
          <c:bubbleSize>
            <c:numRef>
              <c:f>Sheet1!$I$2:$I$10</c:f>
              <c:numCache>
                <c:formatCode>General</c:formatCode>
                <c:ptCount val="9"/>
                <c:pt idx="0">
                  <c:v>66</c:v>
                </c:pt>
                <c:pt idx="1">
                  <c:v>45</c:v>
                </c:pt>
                <c:pt idx="2">
                  <c:v>47</c:v>
                </c:pt>
                <c:pt idx="3">
                  <c:v>58</c:v>
                </c:pt>
                <c:pt idx="4">
                  <c:v>86</c:v>
                </c:pt>
                <c:pt idx="5">
                  <c:v>45</c:v>
                </c:pt>
                <c:pt idx="6">
                  <c:v>34</c:v>
                </c:pt>
                <c:pt idx="7">
                  <c:v>34</c:v>
                </c:pt>
                <c:pt idx="8">
                  <c:v>76</c:v>
                </c:pt>
              </c:numCache>
            </c:numRef>
          </c:bubbleSize>
          <c:bubble3D val="1"/>
        </c:ser>
        <c:ser>
          <c:idx val="4"/>
          <c:order val="4"/>
          <c:tx>
            <c:strRef>
              <c:f>Sheet1!$J$1</c:f>
              <c:strCache>
                <c:ptCount val="1"/>
                <c:pt idx="0">
                  <c:v>MAX MARK</c:v>
                </c:pt>
              </c:strCache>
            </c:strRef>
          </c:tx>
          <c:spPr>
            <a:solidFill>
              <a:schemeClr val="accent5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Sheet1!$A$2:$A$10</c:f>
              <c:strCache>
                <c:ptCount val="9"/>
                <c:pt idx="0">
                  <c:v>san</c:v>
                </c:pt>
                <c:pt idx="1">
                  <c:v>thos</c:v>
                </c:pt>
                <c:pt idx="2">
                  <c:v>rohit</c:v>
                </c:pt>
                <c:pt idx="3">
                  <c:v>vishaal</c:v>
                </c:pt>
                <c:pt idx="4">
                  <c:v>sanjay</c:v>
                </c:pt>
                <c:pt idx="5">
                  <c:v>saran</c:v>
                </c:pt>
                <c:pt idx="6">
                  <c:v>vyas</c:v>
                </c:pt>
                <c:pt idx="7">
                  <c:v>pradeep</c:v>
                </c:pt>
                <c:pt idx="8">
                  <c:v>pavish</c:v>
                </c:pt>
              </c:strCache>
            </c:strRef>
          </c:xVal>
          <c:yVal>
            <c:numRef>
              <c:f>Sheet1!$J$2:$J$10</c:f>
              <c:numCache>
                <c:formatCode>General</c:formatCode>
                <c:ptCount val="9"/>
                <c:pt idx="0">
                  <c:v>80</c:v>
                </c:pt>
                <c:pt idx="1">
                  <c:v>76</c:v>
                </c:pt>
                <c:pt idx="2">
                  <c:v>98</c:v>
                </c:pt>
                <c:pt idx="3">
                  <c:v>97</c:v>
                </c:pt>
                <c:pt idx="4">
                  <c:v>98</c:v>
                </c:pt>
                <c:pt idx="5">
                  <c:v>78</c:v>
                </c:pt>
                <c:pt idx="6">
                  <c:v>88</c:v>
                </c:pt>
                <c:pt idx="7">
                  <c:v>98</c:v>
                </c:pt>
                <c:pt idx="8">
                  <c:v>90</c:v>
                </c:pt>
              </c:numCache>
            </c:numRef>
          </c:yVal>
          <c:bubbleSize>
            <c:numRef>
              <c:f>Sheet1!$K$2:$K$10</c:f>
              <c:numCache>
                <c:formatCode>General</c:formatCode>
                <c:ptCount val="9"/>
                <c:pt idx="0">
                  <c:v>75.400000000000006</c:v>
                </c:pt>
                <c:pt idx="1">
                  <c:v>61.8</c:v>
                </c:pt>
                <c:pt idx="2">
                  <c:v>77.8</c:v>
                </c:pt>
                <c:pt idx="3">
                  <c:v>79.400000000000006</c:v>
                </c:pt>
                <c:pt idx="4">
                  <c:v>90</c:v>
                </c:pt>
                <c:pt idx="5">
                  <c:v>70.599999999999994</c:v>
                </c:pt>
                <c:pt idx="6">
                  <c:v>62.8</c:v>
                </c:pt>
                <c:pt idx="7">
                  <c:v>75.2</c:v>
                </c:pt>
                <c:pt idx="8">
                  <c:v>82</c:v>
                </c:pt>
              </c:numCache>
            </c:numRef>
          </c:bubbleSize>
          <c:bubble3D val="1"/>
        </c:ser>
        <c:ser>
          <c:idx val="5"/>
          <c:order val="5"/>
          <c:tx>
            <c:strRef>
              <c:f>Sheet1!$L$1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chemeClr val="accent6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Sheet1!$A$2:$A$10</c:f>
              <c:strCache>
                <c:ptCount val="9"/>
                <c:pt idx="0">
                  <c:v>san</c:v>
                </c:pt>
                <c:pt idx="1">
                  <c:v>thos</c:v>
                </c:pt>
                <c:pt idx="2">
                  <c:v>rohit</c:v>
                </c:pt>
                <c:pt idx="3">
                  <c:v>vishaal</c:v>
                </c:pt>
                <c:pt idx="4">
                  <c:v>sanjay</c:v>
                </c:pt>
                <c:pt idx="5">
                  <c:v>saran</c:v>
                </c:pt>
                <c:pt idx="6">
                  <c:v>vyas</c:v>
                </c:pt>
                <c:pt idx="7">
                  <c:v>pradeep</c:v>
                </c:pt>
                <c:pt idx="8">
                  <c:v>pavish</c:v>
                </c:pt>
              </c:strCache>
            </c:strRef>
          </c:xVal>
          <c:yVal>
            <c:numRef>
              <c:f>Sheet1!$L$2:$L$10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bubbleSize>
            <c:numRef>
              <c:f>Sheet1!$M$2:$M$10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25937328"/>
        <c:axId val="325934584"/>
      </c:bubbleChart>
      <c:valAx>
        <c:axId val="32593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934584"/>
        <c:crosses val="autoZero"/>
        <c:crossBetween val="midCat"/>
      </c:valAx>
      <c:valAx>
        <c:axId val="3259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937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12</xdr:row>
      <xdr:rowOff>14287</xdr:rowOff>
    </xdr:from>
    <xdr:to>
      <xdr:col>13</xdr:col>
      <xdr:colOff>361950</xdr:colOff>
      <xdr:row>26</xdr:row>
      <xdr:rowOff>90487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</xdr:row>
      <xdr:rowOff>161857</xdr:rowOff>
    </xdr:from>
    <xdr:to>
      <xdr:col>6</xdr:col>
      <xdr:colOff>552450</xdr:colOff>
      <xdr:row>26</xdr:row>
      <xdr:rowOff>50240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26</xdr:row>
      <xdr:rowOff>80962</xdr:rowOff>
    </xdr:from>
    <xdr:to>
      <xdr:col>6</xdr:col>
      <xdr:colOff>542925</xdr:colOff>
      <xdr:row>40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462591</xdr:colOff>
      <xdr:row>26</xdr:row>
      <xdr:rowOff>57688</xdr:rowOff>
    </xdr:from>
    <xdr:to>
      <xdr:col>13</xdr:col>
      <xdr:colOff>110166</xdr:colOff>
      <xdr:row>39</xdr:row>
      <xdr:rowOff>124363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253041</xdr:colOff>
      <xdr:row>39</xdr:row>
      <xdr:rowOff>118523</xdr:rowOff>
    </xdr:from>
    <xdr:to>
      <xdr:col>10</xdr:col>
      <xdr:colOff>262566</xdr:colOff>
      <xdr:row>54</xdr:row>
      <xdr:rowOff>6020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6435"/>
  <sheetViews>
    <sheetView tabSelected="1" topLeftCell="O1048545" zoomScale="106" zoomScaleNormal="106" workbookViewId="0">
      <selection activeCell="AG1048575" sqref="AG1048575"/>
    </sheetView>
  </sheetViews>
  <sheetFormatPr defaultRowHeight="15" x14ac:dyDescent="0.25"/>
  <cols>
    <col min="1" max="1" width="14.5703125" customWidth="1"/>
    <col min="9" max="9" width="11.7109375" customWidth="1"/>
    <col min="10" max="10" width="11" customWidth="1"/>
  </cols>
  <sheetData>
    <row r="1" spans="1:13" x14ac:dyDescent="0.25">
      <c r="A1" s="2" t="s">
        <v>24</v>
      </c>
      <c r="B1" s="2" t="s">
        <v>9</v>
      </c>
      <c r="C1" s="2" t="s">
        <v>19</v>
      </c>
      <c r="D1" s="2" t="s">
        <v>20</v>
      </c>
      <c r="E1" s="2" t="s">
        <v>30</v>
      </c>
      <c r="F1" s="2" t="s">
        <v>21</v>
      </c>
      <c r="G1" s="2" t="s">
        <v>22</v>
      </c>
      <c r="H1" s="2" t="s">
        <v>23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</row>
    <row r="2" spans="1:13" x14ac:dyDescent="0.25">
      <c r="A2" s="2" t="s">
        <v>0</v>
      </c>
      <c r="B2" s="2" t="s">
        <v>10</v>
      </c>
      <c r="C2" s="2">
        <v>76</v>
      </c>
      <c r="D2" s="2">
        <v>78</v>
      </c>
      <c r="E2" s="2">
        <v>80</v>
      </c>
      <c r="F2" s="2">
        <v>66</v>
      </c>
      <c r="G2" s="2">
        <v>77</v>
      </c>
      <c r="H2" s="3">
        <f>SUM(C2:G2)</f>
        <v>377</v>
      </c>
      <c r="I2" s="3">
        <v>66</v>
      </c>
      <c r="J2" s="2">
        <f>MAX(C2:G2)</f>
        <v>80</v>
      </c>
      <c r="K2" s="2">
        <f>AVERAGE(C2:G2)</f>
        <v>75.400000000000006</v>
      </c>
      <c r="L2" s="5" t="str">
        <f>IF( I2&gt;=35,"PASS","FAIL")</f>
        <v>PASS</v>
      </c>
      <c r="M2" s="2" t="str">
        <f>IF(K2&gt;=90,"A+",IF(K2&gt;=80,"A",IF(K2&gt;=70,"B",IF(K2&gt;=35,"D",IF(K2&lt;=34,"f")))))</f>
        <v>B</v>
      </c>
    </row>
    <row r="3" spans="1:13" x14ac:dyDescent="0.25">
      <c r="A3" s="2" t="s">
        <v>1</v>
      </c>
      <c r="B3" s="2" t="s">
        <v>11</v>
      </c>
      <c r="C3" s="3">
        <v>45</v>
      </c>
      <c r="D3" s="3">
        <v>56</v>
      </c>
      <c r="E3" s="3">
        <v>76</v>
      </c>
      <c r="F3" s="3">
        <v>75</v>
      </c>
      <c r="G3" s="3">
        <v>57</v>
      </c>
      <c r="H3" s="3">
        <f>SUM(C3:G3)</f>
        <v>309</v>
      </c>
      <c r="I3" s="3">
        <f t="shared" ref="I3:I10" si="0">MIN(C3:H3)</f>
        <v>45</v>
      </c>
      <c r="J3" s="2">
        <f t="shared" ref="J3:J10" si="1">MAX(C3:G3)</f>
        <v>76</v>
      </c>
      <c r="K3" s="2">
        <f t="shared" ref="K3:K10" si="2">AVERAGE(C3:G3)</f>
        <v>61.8</v>
      </c>
      <c r="L3" s="5" t="str">
        <f t="shared" ref="L3:L10" si="3">IF( I3&gt;=35,"PASS","FAIL")</f>
        <v>PASS</v>
      </c>
      <c r="M3" s="2" t="str">
        <f t="shared" ref="M3:M9" si="4">IF(K3&gt;=90,"A+",IF(K3&gt;=80,"A",IF(K3&gt;=70,"B",IF(K3&gt;=35,"D",IF(K3&lt;=34,"f")))))</f>
        <v>D</v>
      </c>
    </row>
    <row r="4" spans="1:13" x14ac:dyDescent="0.25">
      <c r="A4" s="2" t="s">
        <v>2</v>
      </c>
      <c r="B4" s="2" t="s">
        <v>12</v>
      </c>
      <c r="C4" s="2">
        <v>47</v>
      </c>
      <c r="D4" s="2">
        <v>89</v>
      </c>
      <c r="E4" s="2">
        <v>67</v>
      </c>
      <c r="F4" s="2">
        <v>98</v>
      </c>
      <c r="G4" s="2">
        <v>88</v>
      </c>
      <c r="H4" s="3">
        <f>SUM(C4:G4)</f>
        <v>389</v>
      </c>
      <c r="I4" s="3">
        <f t="shared" si="0"/>
        <v>47</v>
      </c>
      <c r="J4" s="2">
        <f t="shared" si="1"/>
        <v>98</v>
      </c>
      <c r="K4" s="2">
        <f t="shared" si="2"/>
        <v>77.8</v>
      </c>
      <c r="L4" s="5" t="str">
        <f t="shared" si="3"/>
        <v>PASS</v>
      </c>
      <c r="M4" s="2" t="str">
        <f t="shared" si="4"/>
        <v>B</v>
      </c>
    </row>
    <row r="5" spans="1:13" x14ac:dyDescent="0.25">
      <c r="A5" s="2" t="s">
        <v>3</v>
      </c>
      <c r="B5" s="2" t="s">
        <v>13</v>
      </c>
      <c r="C5" s="2">
        <v>69</v>
      </c>
      <c r="D5" s="2">
        <v>86</v>
      </c>
      <c r="E5" s="2">
        <v>58</v>
      </c>
      <c r="F5" s="2">
        <v>97</v>
      </c>
      <c r="G5" s="2">
        <v>87</v>
      </c>
      <c r="H5" s="3">
        <f t="shared" ref="H5:H10" si="5">SUM(C5:G5)</f>
        <v>397</v>
      </c>
      <c r="I5" s="3">
        <f t="shared" si="0"/>
        <v>58</v>
      </c>
      <c r="J5" s="2">
        <f t="shared" si="1"/>
        <v>97</v>
      </c>
      <c r="K5" s="2">
        <f t="shared" si="2"/>
        <v>79.400000000000006</v>
      </c>
      <c r="L5" s="5" t="str">
        <f t="shared" si="3"/>
        <v>PASS</v>
      </c>
      <c r="M5" s="2" t="str">
        <f t="shared" si="4"/>
        <v>B</v>
      </c>
    </row>
    <row r="6" spans="1:13" x14ac:dyDescent="0.25">
      <c r="A6" s="2" t="s">
        <v>4</v>
      </c>
      <c r="B6" s="2" t="s">
        <v>14</v>
      </c>
      <c r="C6" s="2">
        <v>89</v>
      </c>
      <c r="D6" s="2">
        <v>86</v>
      </c>
      <c r="E6" s="2">
        <v>89</v>
      </c>
      <c r="F6" s="2">
        <v>87</v>
      </c>
      <c r="G6" s="2">
        <v>98</v>
      </c>
      <c r="H6" s="3">
        <f t="shared" si="5"/>
        <v>449</v>
      </c>
      <c r="I6" s="3">
        <f t="shared" si="0"/>
        <v>86</v>
      </c>
      <c r="J6" s="2">
        <f t="shared" si="1"/>
        <v>98</v>
      </c>
      <c r="K6" s="2">
        <v>90</v>
      </c>
      <c r="L6" s="5" t="str">
        <f t="shared" si="3"/>
        <v>PASS</v>
      </c>
      <c r="M6" s="2" t="str">
        <f>IF(K6&gt;=90,"A+",IF(K6&gt;=80,"A",IF(K6&gt;=70,"B",IF(K6&gt;=35,"D",IF(K6&lt;=34,"f")))))</f>
        <v>A+</v>
      </c>
    </row>
    <row r="7" spans="1:13" x14ac:dyDescent="0.25">
      <c r="A7" s="2" t="s">
        <v>8</v>
      </c>
      <c r="B7" s="2" t="s">
        <v>15</v>
      </c>
      <c r="C7" s="2">
        <v>45</v>
      </c>
      <c r="D7" s="2">
        <v>76</v>
      </c>
      <c r="E7" s="2">
        <v>78</v>
      </c>
      <c r="F7" s="2">
        <v>76</v>
      </c>
      <c r="G7" s="2">
        <v>78</v>
      </c>
      <c r="H7" s="3">
        <f t="shared" si="5"/>
        <v>353</v>
      </c>
      <c r="I7" s="3">
        <f t="shared" si="0"/>
        <v>45</v>
      </c>
      <c r="J7" s="2">
        <f t="shared" si="1"/>
        <v>78</v>
      </c>
      <c r="K7" s="2">
        <f t="shared" si="2"/>
        <v>70.599999999999994</v>
      </c>
      <c r="L7" s="5" t="str">
        <f t="shared" si="3"/>
        <v>PASS</v>
      </c>
      <c r="M7" s="2" t="str">
        <f t="shared" si="4"/>
        <v>B</v>
      </c>
    </row>
    <row r="8" spans="1:13" x14ac:dyDescent="0.25">
      <c r="A8" s="2" t="s">
        <v>5</v>
      </c>
      <c r="B8" s="2" t="s">
        <v>16</v>
      </c>
      <c r="C8" s="2">
        <v>48</v>
      </c>
      <c r="D8" s="2">
        <v>67</v>
      </c>
      <c r="E8" s="2">
        <v>34</v>
      </c>
      <c r="F8" s="2">
        <v>77</v>
      </c>
      <c r="G8" s="2">
        <v>88</v>
      </c>
      <c r="H8" s="3">
        <f t="shared" si="5"/>
        <v>314</v>
      </c>
      <c r="I8" s="3">
        <v>34</v>
      </c>
      <c r="J8" s="2">
        <f t="shared" si="1"/>
        <v>88</v>
      </c>
      <c r="K8" s="2">
        <f t="shared" si="2"/>
        <v>62.8</v>
      </c>
      <c r="L8" s="4" t="str">
        <f>IF( I8&gt;=35,"PASS","FAIL")</f>
        <v>FAIL</v>
      </c>
      <c r="M8" s="2" t="str">
        <f t="shared" si="4"/>
        <v>D</v>
      </c>
    </row>
    <row r="9" spans="1:13" x14ac:dyDescent="0.25">
      <c r="A9" s="2" t="s">
        <v>6</v>
      </c>
      <c r="B9" s="2" t="s">
        <v>17</v>
      </c>
      <c r="C9" s="2">
        <v>89</v>
      </c>
      <c r="D9" s="2">
        <v>34</v>
      </c>
      <c r="E9" s="2">
        <v>66</v>
      </c>
      <c r="F9" s="2">
        <v>98</v>
      </c>
      <c r="G9" s="2">
        <v>89</v>
      </c>
      <c r="H9" s="3">
        <f t="shared" si="5"/>
        <v>376</v>
      </c>
      <c r="I9" s="3">
        <f t="shared" si="0"/>
        <v>34</v>
      </c>
      <c r="J9" s="2">
        <f t="shared" si="1"/>
        <v>98</v>
      </c>
      <c r="K9" s="2">
        <f t="shared" si="2"/>
        <v>75.2</v>
      </c>
      <c r="L9" s="4" t="str">
        <f>IF( I9&gt;=35,"PASS","FAIL")</f>
        <v>FAIL</v>
      </c>
      <c r="M9" s="2" t="str">
        <f t="shared" si="4"/>
        <v>B</v>
      </c>
    </row>
    <row r="10" spans="1:13" x14ac:dyDescent="0.25">
      <c r="A10" s="2" t="s">
        <v>7</v>
      </c>
      <c r="B10" s="2" t="s">
        <v>18</v>
      </c>
      <c r="C10" s="2">
        <v>90</v>
      </c>
      <c r="D10" s="2">
        <v>87</v>
      </c>
      <c r="E10" s="2">
        <v>76</v>
      </c>
      <c r="F10" s="2">
        <v>78</v>
      </c>
      <c r="G10" s="2">
        <v>79</v>
      </c>
      <c r="H10" s="3">
        <f t="shared" si="5"/>
        <v>410</v>
      </c>
      <c r="I10" s="3">
        <f t="shared" si="0"/>
        <v>76</v>
      </c>
      <c r="J10" s="2">
        <f t="shared" si="1"/>
        <v>90</v>
      </c>
      <c r="K10" s="2">
        <f t="shared" si="2"/>
        <v>82</v>
      </c>
      <c r="L10" s="5" t="str">
        <f t="shared" si="3"/>
        <v>PASS</v>
      </c>
      <c r="M10" s="2" t="str">
        <f>IF(K10&gt;=90,"A+",IF(K10&gt;=80,"A",IF(K10&gt;=70,"B",IF(K10&gt;=35,"D",IF(K10&lt;=34,"f")))))</f>
        <v>A</v>
      </c>
    </row>
    <row r="11" spans="1:13" x14ac:dyDescent="0.25">
      <c r="H11" s="1"/>
    </row>
    <row r="1046434" spans="1:1" x14ac:dyDescent="0.25">
      <c r="A1046434">
        <v>1</v>
      </c>
    </row>
    <row r="1046435" spans="1:1" x14ac:dyDescent="0.25">
      <c r="A1046435">
        <v>1</v>
      </c>
    </row>
  </sheetData>
  <autoFilter ref="A1:M10"/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Sheet1!F12:F14</xm:f>
              <xm:sqref>F25</xm:sqref>
            </x14:sparkline>
            <x14:sparkline>
              <xm:f>Sheet1!G12:G14</xm:f>
              <xm:sqref>G25</xm:sqref>
            </x14:sparkline>
            <x14:sparkline>
              <xm:f>Sheet1!H12:H14</xm:f>
              <xm:sqref>H25</xm:sqref>
            </x14:sparkline>
            <x14:sparkline>
              <xm:f>Sheet1!I12:I14</xm:f>
              <xm:sqref>I25</xm:sqref>
            </x14:sparkline>
            <x14:sparkline>
              <xm:f>Sheet1!J12:J14</xm:f>
              <xm:sqref>J25</xm:sqref>
            </x14:sparkline>
            <x14:sparkline>
              <xm:f>Sheet1!K12:K14</xm:f>
              <xm:sqref>K25</xm:sqref>
            </x14:sparkline>
            <x14:sparkline>
              <xm:f>Sheet1!L12:L14</xm:f>
              <xm:sqref>L25</xm:sqref>
            </x14:sparkline>
            <x14:sparkline>
              <xm:f>Sheet1!M12:M14</xm:f>
              <xm:sqref>M25</xm:sqref>
            </x14:sparkline>
            <x14:sparkline>
              <xm:f>Sheet1!F13:F14</xm:f>
              <xm:sqref>F26</xm:sqref>
            </x14:sparkline>
            <x14:sparkline>
              <xm:f>Sheet1!G13:G14</xm:f>
              <xm:sqref>G26</xm:sqref>
            </x14:sparkline>
            <x14:sparkline>
              <xm:f>Sheet1!H13:H14</xm:f>
              <xm:sqref>H26</xm:sqref>
            </x14:sparkline>
            <x14:sparkline>
              <xm:f>Sheet1!I13:I14</xm:f>
              <xm:sqref>I26</xm:sqref>
            </x14:sparkline>
            <x14:sparkline>
              <xm:f>Sheet1!J13:J14</xm:f>
              <xm:sqref>J26</xm:sqref>
            </x14:sparkline>
            <x14:sparkline>
              <xm:f>Sheet1!K13:K14</xm:f>
              <xm:sqref>K26</xm:sqref>
            </x14:sparkline>
            <x14:sparkline>
              <xm:f>Sheet1!L13:L14</xm:f>
              <xm:sqref>L26</xm:sqref>
            </x14:sparkline>
            <x14:sparkline>
              <xm:f>Sheet1!M13:M14</xm:f>
              <xm:sqref>M26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A100000000</vt:lpstr>
      <vt:lpstr>A100300002</vt:lpstr>
      <vt:lpstr>A19993748</vt:lpstr>
      <vt:lpstr>a1999999999</vt:lpstr>
      <vt:lpstr>B10000000000</vt:lpstr>
      <vt:lpstr>B100009090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2026-09-09T08:13:46Z</dcterms:created>
  <dcterms:modified xsi:type="dcterms:W3CDTF">2026-09-16T10:41:24Z</dcterms:modified>
</cp:coreProperties>
</file>